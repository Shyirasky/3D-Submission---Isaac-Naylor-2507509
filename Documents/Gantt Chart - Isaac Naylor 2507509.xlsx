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D4CDE8A7-965E-4E6F-8AEB-012A7AA1F1E0}" xr6:coauthVersionLast="47" xr6:coauthVersionMax="47" xr10:uidLastSave="{00000000-0000-0000-0000-000000000000}"/>
  <bookViews>
    <workbookView xWindow="-120" yWindow="-120" windowWidth="38640" windowHeight="21120" tabRatio="599" xr2:uid="{00000000-000D-0000-FFFF-FFFF00000000}"/>
  </bookViews>
  <sheets>
    <sheet name="ProjectSchedule" sheetId="11" r:id="rId1"/>
  </sheets>
  <definedNames>
    <definedName name="_xlnm.Print_Area" localSheetId="0">ProjectSchedule!$1:$12</definedName>
    <definedName name="_xlnm.Print_Titles" localSheetId="0">ProjectSchedule!$4:$6</definedName>
    <definedName name="task_end" localSheetId="0">ProjectSchedule!$G1</definedName>
    <definedName name="task_progress" localSheetId="0">ProjectSchedule!$D1</definedName>
    <definedName name="task_start" localSheetId="0">ProjectSchedule!$F1</definedName>
    <definedName name="today" localSheetId="0">ProjectSchedule!$F$3</definedName>
    <definedName name="valuevx">42.314159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" i="11" l="1"/>
  <c r="H4" i="11" s="1"/>
  <c r="H6" i="11" l="1"/>
  <c r="I5" i="11"/>
  <c r="J5" i="11" l="1"/>
  <c r="I6" i="11"/>
  <c r="K5" i="11" l="1"/>
  <c r="J6" i="11"/>
  <c r="K6" i="11" l="1"/>
  <c r="L5" i="11"/>
  <c r="L6" i="11" l="1"/>
  <c r="M5" i="11"/>
  <c r="N5" i="11" l="1"/>
  <c r="M6" i="11"/>
  <c r="O5" i="11" l="1"/>
  <c r="N6" i="11"/>
  <c r="O4" i="11" l="1"/>
  <c r="P5" i="11"/>
  <c r="O6" i="11"/>
  <c r="Q5" i="11" l="1"/>
  <c r="P6" i="11"/>
  <c r="R5" i="11" l="1"/>
  <c r="Q6" i="11"/>
  <c r="S5" i="11" l="1"/>
  <c r="R6" i="11"/>
  <c r="S6" i="11" l="1"/>
  <c r="T5" i="11"/>
  <c r="U5" i="11" l="1"/>
  <c r="T6" i="11"/>
  <c r="V5" i="11" l="1"/>
  <c r="U6" i="11"/>
  <c r="W5" i="11" l="1"/>
  <c r="V6" i="11"/>
  <c r="V4" i="11"/>
  <c r="W6" i="11" l="1"/>
  <c r="X5" i="11"/>
  <c r="Y5" i="11" l="1"/>
  <c r="X6" i="11"/>
  <c r="Z5" i="11" l="1"/>
  <c r="Y6" i="11"/>
  <c r="AA5" i="11" l="1"/>
  <c r="Z6" i="11"/>
  <c r="AB5" i="11" l="1"/>
  <c r="AA6" i="11"/>
  <c r="AC5" i="11" l="1"/>
  <c r="AB6" i="11"/>
  <c r="AD5" i="11" l="1"/>
  <c r="AC4" i="11"/>
  <c r="AC6" i="11"/>
  <c r="AE5" i="11" l="1"/>
  <c r="AD6" i="11"/>
  <c r="AF5" i="11" l="1"/>
  <c r="AE6" i="11"/>
  <c r="AG5" i="11" l="1"/>
  <c r="AF6" i="11"/>
  <c r="AH5" i="11" l="1"/>
  <c r="AG6" i="11"/>
  <c r="AI5" i="11" l="1"/>
  <c r="AH6" i="11"/>
  <c r="AI6" i="11" l="1"/>
  <c r="AJ5" i="11"/>
  <c r="AK5" i="11" l="1"/>
  <c r="AJ6" i="11"/>
  <c r="AJ4" i="11"/>
  <c r="AK6" i="11" l="1"/>
  <c r="AL5" i="11"/>
  <c r="AM5" i="11" l="1"/>
  <c r="AL6" i="11"/>
  <c r="AN5" i="11" l="1"/>
  <c r="AM6" i="11"/>
  <c r="AO5" i="11" l="1"/>
  <c r="AN6" i="11"/>
  <c r="AO6" i="11" l="1"/>
  <c r="AP5" i="11"/>
  <c r="AQ5" i="11" l="1"/>
  <c r="AP6" i="11"/>
  <c r="AR5" i="11" l="1"/>
  <c r="AQ6" i="11"/>
  <c r="AQ4" i="11"/>
  <c r="AR6" i="11" l="1"/>
  <c r="AS5" i="11"/>
  <c r="AS6" i="11" l="1"/>
  <c r="AT5" i="11"/>
  <c r="AU5" i="11" l="1"/>
  <c r="AT6" i="11"/>
  <c r="AV5" i="11" l="1"/>
  <c r="AU6" i="11"/>
  <c r="AW5" i="11" l="1"/>
  <c r="AV6" i="11"/>
  <c r="AX5" i="11" l="1"/>
  <c r="AW6" i="11"/>
  <c r="AX6" i="11" l="1"/>
  <c r="AX4" i="11"/>
  <c r="AY5" i="11"/>
  <c r="AZ5" i="11" l="1"/>
  <c r="AY6" i="11"/>
  <c r="AZ6" i="11" l="1"/>
  <c r="BA5" i="11"/>
  <c r="BB5" i="11" l="1"/>
  <c r="BA6" i="11"/>
  <c r="BB6" i="11" l="1"/>
  <c r="BC5" i="11"/>
  <c r="BD5" i="11" l="1"/>
  <c r="BC6" i="11"/>
  <c r="BD6" i="11" l="1"/>
  <c r="BE5" i="11"/>
  <c r="BE4" i="11" l="1"/>
  <c r="BF5" i="11"/>
  <c r="BE6" i="11"/>
  <c r="BG5" i="11" l="1"/>
  <c r="BF6" i="11"/>
  <c r="BG6" i="11" l="1"/>
  <c r="BH5" i="11"/>
  <c r="BH6" i="11" l="1"/>
  <c r="BI5" i="11"/>
  <c r="BI6" i="11" l="1"/>
  <c r="BJ5" i="11"/>
  <c r="BJ6" i="11" l="1"/>
  <c r="BK5" i="11"/>
  <c r="BL5" i="11" l="1"/>
  <c r="BK6" i="11"/>
  <c r="BM5" i="11" l="1"/>
  <c r="BL4" i="11"/>
  <c r="BL6" i="11"/>
  <c r="BN5" i="11" l="1"/>
  <c r="BM6" i="11"/>
  <c r="BO5" i="11" l="1"/>
  <c r="BN6" i="11"/>
  <c r="BO6" i="11" l="1"/>
  <c r="BP5" i="11"/>
  <c r="BP6" i="11" l="1"/>
  <c r="BQ5" i="11"/>
  <c r="BR5" i="11" l="1"/>
  <c r="BQ6" i="11"/>
  <c r="BS5" i="11" l="1"/>
  <c r="BR6" i="11"/>
  <c r="BT5" i="11" l="1"/>
  <c r="BS6" i="11"/>
  <c r="BS4" i="11"/>
  <c r="BT6" i="11" l="1"/>
  <c r="BU5" i="11"/>
  <c r="BV5" i="11" l="1"/>
  <c r="BU6" i="11"/>
  <c r="BW5" i="11" l="1"/>
  <c r="BV6" i="11"/>
  <c r="BX5" i="11" l="1"/>
  <c r="BW6" i="11"/>
  <c r="BX6" i="11" l="1"/>
  <c r="BY5" i="11"/>
  <c r="BZ5" i="11" l="1"/>
  <c r="BY6" i="11"/>
  <c r="BZ4" i="11" l="1"/>
  <c r="BZ6" i="11"/>
  <c r="CA5" i="11"/>
  <c r="CA6" i="11" l="1"/>
  <c r="CB5" i="11"/>
  <c r="CC5" i="11" l="1"/>
  <c r="CB6" i="11"/>
  <c r="CD5" i="11" l="1"/>
  <c r="CC6" i="11"/>
  <c r="CE5" i="11" l="1"/>
  <c r="CD6" i="11"/>
  <c r="CE6" i="11" l="1"/>
  <c r="CF5" i="11"/>
  <c r="CF6" i="11" l="1"/>
  <c r="CG5" i="11"/>
  <c r="CG6" i="11" l="1"/>
  <c r="CH5" i="11"/>
  <c r="CG4" i="11"/>
  <c r="CI5" i="11" l="1"/>
  <c r="CH6" i="11"/>
  <c r="CI6" i="11" l="1"/>
  <c r="CJ5" i="11"/>
  <c r="CK5" i="11" l="1"/>
  <c r="CJ6" i="11"/>
  <c r="CL5" i="11" l="1"/>
  <c r="CK6" i="11"/>
  <c r="CM5" i="11" l="1"/>
  <c r="CL6" i="11"/>
  <c r="CN5" i="11" l="1"/>
  <c r="CM6" i="11"/>
  <c r="CN4" i="11" l="1"/>
  <c r="CO5" i="11"/>
  <c r="CN6" i="11"/>
  <c r="CP5" i="11" l="1"/>
  <c r="CO6" i="11"/>
  <c r="CQ5" i="11" l="1"/>
  <c r="CP6" i="11"/>
  <c r="CQ6" i="11" l="1"/>
  <c r="CR5" i="11"/>
  <c r="CS5" i="11" l="1"/>
  <c r="CR6" i="11"/>
  <c r="CT5" i="11" l="1"/>
  <c r="CS6" i="11"/>
  <c r="CT6" i="11" l="1"/>
  <c r="CU5" i="11"/>
  <c r="CU6" i="11" l="1"/>
  <c r="CV5" i="11"/>
  <c r="CU4" i="11"/>
  <c r="CV6" i="11" l="1"/>
  <c r="CW5" i="11"/>
  <c r="CX5" i="11" l="1"/>
  <c r="CW6" i="11"/>
  <c r="CX6" i="11" l="1"/>
  <c r="CY5" i="11"/>
  <c r="CZ5" i="11" l="1"/>
  <c r="CY6" i="11"/>
  <c r="DA5" i="11" l="1"/>
  <c r="CZ6" i="11"/>
  <c r="DA6" i="11" l="1"/>
  <c r="DB5" i="11"/>
  <c r="DB4" i="11" l="1"/>
  <c r="DC5" i="11"/>
  <c r="DB6" i="11"/>
  <c r="DC6" i="11" l="1"/>
  <c r="DD5" i="11"/>
  <c r="DD6" i="11" l="1"/>
  <c r="DE5" i="11"/>
  <c r="DE6" i="11" s="1"/>
</calcChain>
</file>

<file path=xl/sharedStrings.xml><?xml version="1.0" encoding="utf-8"?>
<sst xmlns="http://schemas.openxmlformats.org/spreadsheetml/2006/main" count="73" uniqueCount="35">
  <si>
    <t>Project Start:</t>
  </si>
  <si>
    <t>PROGRESS</t>
  </si>
  <si>
    <t>ASSIGNED
TO</t>
  </si>
  <si>
    <t>START</t>
  </si>
  <si>
    <t>END</t>
  </si>
  <si>
    <t>TASK</t>
  </si>
  <si>
    <t>Planning</t>
  </si>
  <si>
    <t>Development</t>
  </si>
  <si>
    <t>Resources</t>
  </si>
  <si>
    <t>IN/Laptop</t>
  </si>
  <si>
    <t>IN</t>
  </si>
  <si>
    <t>3D Reconstructive Techniques</t>
  </si>
  <si>
    <t>Idea + SDG Research</t>
  </si>
  <si>
    <t>Pitch Prep</t>
  </si>
  <si>
    <t>Mood Boards</t>
  </si>
  <si>
    <t>Sketches</t>
  </si>
  <si>
    <t>Asset Planning (what to scan)</t>
  </si>
  <si>
    <t>Design Document Planning/Gantt</t>
  </si>
  <si>
    <t>Object Scanning</t>
  </si>
  <si>
    <t>Model Cleanup</t>
  </si>
  <si>
    <t>Import Into Unity</t>
  </si>
  <si>
    <t>Enviroment Building</t>
  </si>
  <si>
    <t>Lighting</t>
  </si>
  <si>
    <t>Interaction System</t>
  </si>
  <si>
    <t>UI (text / panels / item info)</t>
  </si>
  <si>
    <t>Quiz System</t>
  </si>
  <si>
    <t>Bug Fixing</t>
  </si>
  <si>
    <t>User Testing Session 1</t>
  </si>
  <si>
    <t>User Testing Session 2</t>
  </si>
  <si>
    <t>Fix issues post feedback</t>
  </si>
  <si>
    <t>Final adjustments</t>
  </si>
  <si>
    <t>Submission</t>
  </si>
  <si>
    <t>CM2121</t>
  </si>
  <si>
    <t>Isaac Naylor - 2507509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</si>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</sst>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/d/yy;@"/>
    <numFmt numFmtId="165" formatCode="ddd\,\ m/d/yyyy"/>
    <numFmt numFmtId="166" formatCode="mmm\ d\,\ yyyy"/>
    <numFmt numFmtId="167" formatCode="d"/>
    <numFmt numFmtId="168" formatCode="dd/mm/yyyy;@"/>
  </numFmts>
  <fonts count="15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6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 wrapText="1"/>
    </xf>
    <xf numFmtId="167" fontId="10" fillId="2" borderId="0" xfId="0" applyNumberFormat="1" applyFont="1" applyFill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167" fontId="10" fillId="2" borderId="9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right" vertical="center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9" fontId="4" fillId="0" borderId="2" xfId="2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2" fillId="0" borderId="0" xfId="0" applyFont="1" applyAlignment="1">
      <alignment horizontal="right" vertical="center"/>
    </xf>
    <xf numFmtId="0" fontId="5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center" vertical="center"/>
    </xf>
    <xf numFmtId="9" fontId="4" fillId="5" borderId="2" xfId="2" applyFont="1" applyFill="1" applyBorder="1" applyAlignment="1">
      <alignment horizontal="center" vertical="center"/>
    </xf>
    <xf numFmtId="168" fontId="0" fillId="5" borderId="2" xfId="0" applyNumberFormat="1" applyFill="1" applyBorder="1" applyAlignment="1">
      <alignment horizontal="center" vertical="center"/>
    </xf>
    <xf numFmtId="168" fontId="4" fillId="5" borderId="2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 indent="2"/>
    </xf>
    <xf numFmtId="0" fontId="0" fillId="5" borderId="2" xfId="0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9" fontId="4" fillId="6" borderId="2" xfId="2" applyFont="1" applyFill="1" applyBorder="1" applyAlignment="1">
      <alignment horizontal="center" vertical="center"/>
    </xf>
    <xf numFmtId="168" fontId="0" fillId="6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 indent="2"/>
    </xf>
    <xf numFmtId="0" fontId="0" fillId="6" borderId="2" xfId="0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center" vertical="center"/>
    </xf>
    <xf numFmtId="9" fontId="4" fillId="7" borderId="2" xfId="2" applyFont="1" applyFill="1" applyBorder="1" applyAlignment="1">
      <alignment horizontal="center" vertical="center"/>
    </xf>
    <xf numFmtId="168" fontId="0" fillId="7" borderId="2" xfId="0" applyNumberFormat="1" applyFill="1" applyBorder="1" applyAlignment="1">
      <alignment horizontal="center" vertical="center"/>
    </xf>
    <xf numFmtId="168" fontId="4" fillId="7" borderId="2" xfId="0" applyNumberFormat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 indent="2"/>
    </xf>
    <xf numFmtId="0" fontId="0" fillId="7" borderId="2" xfId="0" applyFill="1" applyBorder="1" applyAlignment="1">
      <alignment horizontal="center" vertical="center"/>
    </xf>
    <xf numFmtId="9" fontId="4" fillId="8" borderId="2" xfId="2" applyFont="1" applyFill="1" applyBorder="1" applyAlignment="1">
      <alignment horizontal="center" vertical="center"/>
    </xf>
    <xf numFmtId="166" fontId="0" fillId="2" borderId="6" xfId="0" applyNumberFormat="1" applyFill="1" applyBorder="1" applyAlignment="1">
      <alignment horizontal="left" vertical="center" wrapText="1" indent="1"/>
    </xf>
    <xf numFmtId="166" fontId="0" fillId="2" borderId="1" xfId="0" applyNumberFormat="1" applyFill="1" applyBorder="1" applyAlignment="1">
      <alignment horizontal="left" vertical="center" wrapText="1" indent="1"/>
    </xf>
    <xf numFmtId="166" fontId="0" fillId="2" borderId="7" xfId="0" applyNumberFormat="1" applyFill="1" applyBorder="1" applyAlignment="1">
      <alignment horizontal="left" vertical="center" wrapText="1" indent="1"/>
    </xf>
    <xf numFmtId="168" fontId="0" fillId="0" borderId="4" xfId="0" applyNumberForma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</cellXfs>
  <cellStyles count="3">
    <cellStyle name="Hyperlink" xfId="1" builtinId="8" customBuiltin="1"/>
    <cellStyle name="Normal" xfId="0" builtinId="0"/>
    <cellStyle name="Percent" xfId="2" builtinId="5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DE30"/>
  <sheetViews>
    <sheetView showGridLines="0" tabSelected="1" showRuler="0" zoomScale="80" zoomScaleNormal="80" zoomScalePageLayoutView="70" workbookViewId="0">
      <pane ySplit="6" topLeftCell="A7" activePane="bottomLeft" state="frozen"/>
      <selection pane="bottomLeft" activeCell="B26" sqref="B26"/>
    </sheetView>
  </sheetViews>
  <sheetFormatPr defaultRowHeight="15" x14ac:dyDescent="0.25"/>
  <cols>
    <col min="1" max="1" width="2.7109375" customWidth="1"/>
    <col min="2" max="2" width="51.85546875" customWidth="1"/>
    <col min="3" max="3" width="12.42578125" customWidth="1"/>
    <col min="4" max="5" width="10.7109375" customWidth="1"/>
    <col min="6" max="6" width="13" style="5" customWidth="1"/>
    <col min="7" max="7" width="14" customWidth="1"/>
    <col min="8" max="8" width="10.7109375" customWidth="1"/>
    <col min="9" max="91" width="5.7109375" customWidth="1"/>
  </cols>
  <sheetData>
    <row r="1" spans="1:109" ht="28.5" x14ac:dyDescent="0.45">
      <c r="B1" s="16" t="s">
        <v>11</v>
      </c>
      <c r="C1" s="1"/>
      <c r="D1" s="2"/>
      <c r="E1" s="2"/>
      <c r="F1" s="4"/>
      <c r="G1" s="24"/>
      <c r="H1" s="8"/>
    </row>
    <row r="2" spans="1:109" ht="19.5" customHeight="1" x14ac:dyDescent="0.3">
      <c r="B2" s="9" t="s">
        <v>33</v>
      </c>
      <c r="D2" s="6" t="s">
        <v>0</v>
      </c>
      <c r="E2" s="6"/>
      <c r="F2" s="48">
        <v>46051</v>
      </c>
      <c r="G2" s="49"/>
    </row>
    <row r="3" spans="1:109" ht="19.5" customHeight="1" x14ac:dyDescent="0.3">
      <c r="B3" s="9" t="s">
        <v>32</v>
      </c>
      <c r="D3" s="6"/>
      <c r="E3" s="6"/>
      <c r="F3" s="50"/>
      <c r="G3" s="51"/>
    </row>
    <row r="4" spans="1:109" ht="19.5" customHeight="1" x14ac:dyDescent="0.25">
      <c r="D4" s="6"/>
      <c r="E4" s="6"/>
      <c r="F4" s="7">
        <v>0</v>
      </c>
      <c r="H4" s="45">
        <f>H5</f>
        <v>46041</v>
      </c>
      <c r="I4" s="46"/>
      <c r="J4" s="46"/>
      <c r="K4" s="46"/>
      <c r="L4" s="46"/>
      <c r="M4" s="46"/>
      <c r="N4" s="47"/>
      <c r="O4" s="45">
        <f>O5</f>
        <v>46048</v>
      </c>
      <c r="P4" s="46"/>
      <c r="Q4" s="46"/>
      <c r="R4" s="46"/>
      <c r="S4" s="46"/>
      <c r="T4" s="46"/>
      <c r="U4" s="47"/>
      <c r="V4" s="45">
        <f>V5</f>
        <v>46055</v>
      </c>
      <c r="W4" s="46"/>
      <c r="X4" s="46"/>
      <c r="Y4" s="46"/>
      <c r="Z4" s="46"/>
      <c r="AA4" s="46"/>
      <c r="AB4" s="47"/>
      <c r="AC4" s="45">
        <f>AC5</f>
        <v>46062</v>
      </c>
      <c r="AD4" s="46"/>
      <c r="AE4" s="46"/>
      <c r="AF4" s="46"/>
      <c r="AG4" s="46"/>
      <c r="AH4" s="46"/>
      <c r="AI4" s="47"/>
      <c r="AJ4" s="45">
        <f>AJ5</f>
        <v>46069</v>
      </c>
      <c r="AK4" s="46"/>
      <c r="AL4" s="46"/>
      <c r="AM4" s="46"/>
      <c r="AN4" s="46"/>
      <c r="AO4" s="46"/>
      <c r="AP4" s="47"/>
      <c r="AQ4" s="45">
        <f>AQ5</f>
        <v>46076</v>
      </c>
      <c r="AR4" s="46"/>
      <c r="AS4" s="46"/>
      <c r="AT4" s="46"/>
      <c r="AU4" s="46"/>
      <c r="AV4" s="46"/>
      <c r="AW4" s="47"/>
      <c r="AX4" s="45">
        <f>AX5</f>
        <v>46083</v>
      </c>
      <c r="AY4" s="46"/>
      <c r="AZ4" s="46"/>
      <c r="BA4" s="46"/>
      <c r="BB4" s="46"/>
      <c r="BC4" s="46"/>
      <c r="BD4" s="47"/>
      <c r="BE4" s="45">
        <f>BE5</f>
        <v>46090</v>
      </c>
      <c r="BF4" s="46"/>
      <c r="BG4" s="46"/>
      <c r="BH4" s="46"/>
      <c r="BI4" s="46"/>
      <c r="BJ4" s="46"/>
      <c r="BK4" s="47"/>
      <c r="BL4" s="45">
        <f t="shared" ref="BL4" si="0">BL5</f>
        <v>46097</v>
      </c>
      <c r="BM4" s="46"/>
      <c r="BN4" s="46"/>
      <c r="BO4" s="46"/>
      <c r="BP4" s="46"/>
      <c r="BQ4" s="46"/>
      <c r="BR4" s="47"/>
      <c r="BS4" s="45">
        <f t="shared" ref="BS4" si="1">BS5</f>
        <v>46104</v>
      </c>
      <c r="BT4" s="46"/>
      <c r="BU4" s="46"/>
      <c r="BV4" s="46"/>
      <c r="BW4" s="46"/>
      <c r="BX4" s="46"/>
      <c r="BY4" s="47"/>
      <c r="BZ4" s="45">
        <f t="shared" ref="BZ4" si="2">BZ5</f>
        <v>46111</v>
      </c>
      <c r="CA4" s="46"/>
      <c r="CB4" s="46"/>
      <c r="CC4" s="46"/>
      <c r="CD4" s="46"/>
      <c r="CE4" s="46"/>
      <c r="CF4" s="47"/>
      <c r="CG4" s="45">
        <f t="shared" ref="CG4" si="3">CG5</f>
        <v>46118</v>
      </c>
      <c r="CH4" s="46"/>
      <c r="CI4" s="46"/>
      <c r="CJ4" s="46"/>
      <c r="CK4" s="46"/>
      <c r="CL4" s="46"/>
      <c r="CM4" s="47"/>
      <c r="CN4" s="45">
        <f t="shared" ref="CN4" si="4">CN5</f>
        <v>46125</v>
      </c>
      <c r="CO4" s="46"/>
      <c r="CP4" s="46"/>
      <c r="CQ4" s="46"/>
      <c r="CR4" s="46"/>
      <c r="CS4" s="46"/>
      <c r="CT4" s="47"/>
      <c r="CU4" s="45">
        <f t="shared" ref="CU4" si="5">CU5</f>
        <v>46132</v>
      </c>
      <c r="CV4" s="46"/>
      <c r="CW4" s="46"/>
      <c r="CX4" s="46"/>
      <c r="CY4" s="46"/>
      <c r="CZ4" s="46"/>
      <c r="DA4" s="47"/>
      <c r="DB4" s="45">
        <f t="shared" ref="DB4" si="6">DB5</f>
        <v>46139</v>
      </c>
      <c r="DC4" s="46"/>
      <c r="DD4" s="46"/>
      <c r="DE4" s="46"/>
    </row>
    <row r="5" spans="1:109" x14ac:dyDescent="0.25">
      <c r="A5" s="6"/>
      <c r="H5" s="13">
        <f>F2-WEEKDAY(F2,1)+2+7*(F4-1)</f>
        <v>46041</v>
      </c>
      <c r="I5" s="12">
        <f>H5+1</f>
        <v>46042</v>
      </c>
      <c r="J5" s="12">
        <f t="shared" ref="J5:AW5" si="7">I5+1</f>
        <v>46043</v>
      </c>
      <c r="K5" s="12">
        <f t="shared" si="7"/>
        <v>46044</v>
      </c>
      <c r="L5" s="12">
        <f t="shared" si="7"/>
        <v>46045</v>
      </c>
      <c r="M5" s="12">
        <f t="shared" si="7"/>
        <v>46046</v>
      </c>
      <c r="N5" s="14">
        <f t="shared" si="7"/>
        <v>46047</v>
      </c>
      <c r="O5" s="13">
        <f>N5+1</f>
        <v>46048</v>
      </c>
      <c r="P5" s="12">
        <f>O5+1</f>
        <v>46049</v>
      </c>
      <c r="Q5" s="12">
        <f t="shared" si="7"/>
        <v>46050</v>
      </c>
      <c r="R5" s="12">
        <f t="shared" si="7"/>
        <v>46051</v>
      </c>
      <c r="S5" s="12">
        <f t="shared" si="7"/>
        <v>46052</v>
      </c>
      <c r="T5" s="12">
        <f t="shared" si="7"/>
        <v>46053</v>
      </c>
      <c r="U5" s="14">
        <f t="shared" si="7"/>
        <v>46054</v>
      </c>
      <c r="V5" s="13">
        <f>U5+1</f>
        <v>46055</v>
      </c>
      <c r="W5" s="12">
        <f>V5+1</f>
        <v>46056</v>
      </c>
      <c r="X5" s="12">
        <f t="shared" si="7"/>
        <v>46057</v>
      </c>
      <c r="Y5" s="12">
        <f t="shared" si="7"/>
        <v>46058</v>
      </c>
      <c r="Z5" s="12">
        <f t="shared" si="7"/>
        <v>46059</v>
      </c>
      <c r="AA5" s="12">
        <f t="shared" si="7"/>
        <v>46060</v>
      </c>
      <c r="AB5" s="14">
        <f t="shared" si="7"/>
        <v>46061</v>
      </c>
      <c r="AC5" s="13">
        <f>AB5+1</f>
        <v>46062</v>
      </c>
      <c r="AD5" s="12">
        <f>AC5+1</f>
        <v>46063</v>
      </c>
      <c r="AE5" s="12">
        <f t="shared" si="7"/>
        <v>46064</v>
      </c>
      <c r="AF5" s="12">
        <f t="shared" si="7"/>
        <v>46065</v>
      </c>
      <c r="AG5" s="12">
        <f t="shared" si="7"/>
        <v>46066</v>
      </c>
      <c r="AH5" s="12">
        <f t="shared" si="7"/>
        <v>46067</v>
      </c>
      <c r="AI5" s="14">
        <f t="shared" si="7"/>
        <v>46068</v>
      </c>
      <c r="AJ5" s="13">
        <f>AI5+1</f>
        <v>46069</v>
      </c>
      <c r="AK5" s="12">
        <f>AJ5+1</f>
        <v>46070</v>
      </c>
      <c r="AL5" s="12">
        <f t="shared" si="7"/>
        <v>46071</v>
      </c>
      <c r="AM5" s="12">
        <f t="shared" si="7"/>
        <v>46072</v>
      </c>
      <c r="AN5" s="12">
        <f t="shared" si="7"/>
        <v>46073</v>
      </c>
      <c r="AO5" s="12">
        <f t="shared" si="7"/>
        <v>46074</v>
      </c>
      <c r="AP5" s="14">
        <f t="shared" si="7"/>
        <v>46075</v>
      </c>
      <c r="AQ5" s="13">
        <f>AP5+1</f>
        <v>46076</v>
      </c>
      <c r="AR5" s="12">
        <f>AQ5+1</f>
        <v>46077</v>
      </c>
      <c r="AS5" s="12">
        <f t="shared" si="7"/>
        <v>46078</v>
      </c>
      <c r="AT5" s="12">
        <f t="shared" si="7"/>
        <v>46079</v>
      </c>
      <c r="AU5" s="12">
        <f t="shared" si="7"/>
        <v>46080</v>
      </c>
      <c r="AV5" s="12">
        <f t="shared" si="7"/>
        <v>46081</v>
      </c>
      <c r="AW5" s="14">
        <f t="shared" si="7"/>
        <v>46082</v>
      </c>
      <c r="AX5" s="13">
        <f>AW5+1</f>
        <v>46083</v>
      </c>
      <c r="AY5" s="12">
        <f>AX5+1</f>
        <v>46084</v>
      </c>
      <c r="AZ5" s="12">
        <f t="shared" ref="AZ5:BD5" si="8">AY5+1</f>
        <v>46085</v>
      </c>
      <c r="BA5" s="12">
        <f t="shared" si="8"/>
        <v>46086</v>
      </c>
      <c r="BB5" s="12">
        <f t="shared" si="8"/>
        <v>46087</v>
      </c>
      <c r="BC5" s="12">
        <f t="shared" si="8"/>
        <v>46088</v>
      </c>
      <c r="BD5" s="14">
        <f t="shared" si="8"/>
        <v>46089</v>
      </c>
      <c r="BE5" s="13">
        <f>BD5+1</f>
        <v>46090</v>
      </c>
      <c r="BF5" s="12">
        <f>BE5+1</f>
        <v>46091</v>
      </c>
      <c r="BG5" s="12">
        <f t="shared" ref="BG5:BM5" si="9">BF5+1</f>
        <v>46092</v>
      </c>
      <c r="BH5" s="12">
        <f t="shared" si="9"/>
        <v>46093</v>
      </c>
      <c r="BI5" s="12">
        <f t="shared" si="9"/>
        <v>46094</v>
      </c>
      <c r="BJ5" s="12">
        <f t="shared" si="9"/>
        <v>46095</v>
      </c>
      <c r="BK5" s="14">
        <f t="shared" si="9"/>
        <v>46096</v>
      </c>
      <c r="BL5" s="13">
        <f t="shared" si="9"/>
        <v>46097</v>
      </c>
      <c r="BM5" s="12">
        <f t="shared" si="9"/>
        <v>46098</v>
      </c>
      <c r="BN5" s="12">
        <f t="shared" ref="BN5" si="10">BM5+1</f>
        <v>46099</v>
      </c>
      <c r="BO5" s="12">
        <f t="shared" ref="BO5" si="11">BN5+1</f>
        <v>46100</v>
      </c>
      <c r="BP5" s="12">
        <f t="shared" ref="BP5" si="12">BO5+1</f>
        <v>46101</v>
      </c>
      <c r="BQ5" s="12">
        <f t="shared" ref="BQ5" si="13">BP5+1</f>
        <v>46102</v>
      </c>
      <c r="BR5" s="14">
        <f t="shared" ref="BR5:BT5" si="14">BQ5+1</f>
        <v>46103</v>
      </c>
      <c r="BS5" s="13">
        <f t="shared" si="14"/>
        <v>46104</v>
      </c>
      <c r="BT5" s="12">
        <f t="shared" si="14"/>
        <v>46105</v>
      </c>
      <c r="BU5" s="12">
        <f t="shared" ref="BU5" si="15">BT5+1</f>
        <v>46106</v>
      </c>
      <c r="BV5" s="12">
        <f t="shared" ref="BV5" si="16">BU5+1</f>
        <v>46107</v>
      </c>
      <c r="BW5" s="12">
        <f t="shared" ref="BW5" si="17">BV5+1</f>
        <v>46108</v>
      </c>
      <c r="BX5" s="12">
        <f t="shared" ref="BX5" si="18">BW5+1</f>
        <v>46109</v>
      </c>
      <c r="BY5" s="14">
        <f t="shared" ref="BY5:CA5" si="19">BX5+1</f>
        <v>46110</v>
      </c>
      <c r="BZ5" s="13">
        <f t="shared" si="19"/>
        <v>46111</v>
      </c>
      <c r="CA5" s="12">
        <f t="shared" si="19"/>
        <v>46112</v>
      </c>
      <c r="CB5" s="12">
        <f t="shared" ref="CB5" si="20">CA5+1</f>
        <v>46113</v>
      </c>
      <c r="CC5" s="12">
        <f t="shared" ref="CC5" si="21">CB5+1</f>
        <v>46114</v>
      </c>
      <c r="CD5" s="12">
        <f t="shared" ref="CD5" si="22">CC5+1</f>
        <v>46115</v>
      </c>
      <c r="CE5" s="12">
        <f t="shared" ref="CE5" si="23">CD5+1</f>
        <v>46116</v>
      </c>
      <c r="CF5" s="14">
        <f t="shared" ref="CF5:CH5" si="24">CE5+1</f>
        <v>46117</v>
      </c>
      <c r="CG5" s="13">
        <f t="shared" si="24"/>
        <v>46118</v>
      </c>
      <c r="CH5" s="12">
        <f t="shared" si="24"/>
        <v>46119</v>
      </c>
      <c r="CI5" s="12">
        <f t="shared" ref="CI5" si="25">CH5+1</f>
        <v>46120</v>
      </c>
      <c r="CJ5" s="12">
        <f t="shared" ref="CJ5" si="26">CI5+1</f>
        <v>46121</v>
      </c>
      <c r="CK5" s="12">
        <f t="shared" ref="CK5" si="27">CJ5+1</f>
        <v>46122</v>
      </c>
      <c r="CL5" s="12">
        <f t="shared" ref="CL5" si="28">CK5+1</f>
        <v>46123</v>
      </c>
      <c r="CM5" s="14">
        <f t="shared" ref="CM5" si="29">CL5+1</f>
        <v>46124</v>
      </c>
      <c r="CN5" s="13">
        <f t="shared" ref="CN5" si="30">CM5+1</f>
        <v>46125</v>
      </c>
      <c r="CO5" s="12">
        <f t="shared" ref="CO5" si="31">CN5+1</f>
        <v>46126</v>
      </c>
      <c r="CP5" s="12">
        <f t="shared" ref="CP5" si="32">CO5+1</f>
        <v>46127</v>
      </c>
      <c r="CQ5" s="12">
        <f t="shared" ref="CQ5" si="33">CP5+1</f>
        <v>46128</v>
      </c>
      <c r="CR5" s="12">
        <f t="shared" ref="CR5" si="34">CQ5+1</f>
        <v>46129</v>
      </c>
      <c r="CS5" s="12">
        <f t="shared" ref="CS5" si="35">CR5+1</f>
        <v>46130</v>
      </c>
      <c r="CT5" s="14">
        <f t="shared" ref="CT5" si="36">CS5+1</f>
        <v>46131</v>
      </c>
      <c r="CU5" s="13">
        <f t="shared" ref="CU5" si="37">CT5+1</f>
        <v>46132</v>
      </c>
      <c r="CV5" s="12">
        <f t="shared" ref="CV5" si="38">CU5+1</f>
        <v>46133</v>
      </c>
      <c r="CW5" s="12">
        <f t="shared" ref="CW5" si="39">CV5+1</f>
        <v>46134</v>
      </c>
      <c r="CX5" s="12">
        <f t="shared" ref="CX5" si="40">CW5+1</f>
        <v>46135</v>
      </c>
      <c r="CY5" s="12">
        <f t="shared" ref="CY5" si="41">CX5+1</f>
        <v>46136</v>
      </c>
      <c r="CZ5" s="12">
        <f t="shared" ref="CZ5" si="42">CY5+1</f>
        <v>46137</v>
      </c>
      <c r="DA5" s="14">
        <f t="shared" ref="DA5" si="43">CZ5+1</f>
        <v>46138</v>
      </c>
      <c r="DB5" s="13">
        <f t="shared" ref="DB5" si="44">DA5+1</f>
        <v>46139</v>
      </c>
      <c r="DC5" s="12">
        <f t="shared" ref="DC5" si="45">DB5+1</f>
        <v>46140</v>
      </c>
      <c r="DD5" s="12">
        <f t="shared" ref="DD5" si="46">DC5+1</f>
        <v>46141</v>
      </c>
      <c r="DE5" s="12">
        <f t="shared" ref="DE5" si="47">DD5+1</f>
        <v>46142</v>
      </c>
    </row>
    <row r="6" spans="1:109" ht="29.25" customHeight="1" thickBot="1" x14ac:dyDescent="0.3">
      <c r="A6" s="17"/>
      <c r="B6" s="10" t="s">
        <v>5</v>
      </c>
      <c r="C6" s="11" t="s">
        <v>2</v>
      </c>
      <c r="D6" s="11" t="s">
        <v>1</v>
      </c>
      <c r="E6" s="11" t="s">
        <v>8</v>
      </c>
      <c r="F6" s="11" t="s">
        <v>3</v>
      </c>
      <c r="G6" s="11" t="s">
        <v>4</v>
      </c>
      <c r="H6" s="15" t="str">
        <f t="shared" ref="H6" si="48">LEFT(TEXT(H5,"ddd"),1)</f>
        <v>M</v>
      </c>
      <c r="I6" s="15" t="str">
        <f t="shared" ref="I6:AQ6" si="49">LEFT(TEXT(I5,"ddd"),1)</f>
        <v>T</v>
      </c>
      <c r="J6" s="15" t="str">
        <f t="shared" si="49"/>
        <v>W</v>
      </c>
      <c r="K6" s="15" t="str">
        <f t="shared" si="49"/>
        <v>T</v>
      </c>
      <c r="L6" s="15" t="str">
        <f t="shared" si="49"/>
        <v>F</v>
      </c>
      <c r="M6" s="15" t="str">
        <f t="shared" si="49"/>
        <v>S</v>
      </c>
      <c r="N6" s="15" t="str">
        <f t="shared" si="49"/>
        <v>S</v>
      </c>
      <c r="O6" s="15" t="str">
        <f t="shared" si="49"/>
        <v>M</v>
      </c>
      <c r="P6" s="15" t="str">
        <f t="shared" si="49"/>
        <v>T</v>
      </c>
      <c r="Q6" s="15" t="str">
        <f t="shared" si="49"/>
        <v>W</v>
      </c>
      <c r="R6" s="15" t="str">
        <f t="shared" si="49"/>
        <v>T</v>
      </c>
      <c r="S6" s="15" t="str">
        <f t="shared" si="49"/>
        <v>F</v>
      </c>
      <c r="T6" s="15" t="str">
        <f t="shared" si="49"/>
        <v>S</v>
      </c>
      <c r="U6" s="15" t="str">
        <f t="shared" si="49"/>
        <v>S</v>
      </c>
      <c r="V6" s="15" t="str">
        <f t="shared" si="49"/>
        <v>M</v>
      </c>
      <c r="W6" s="15" t="str">
        <f t="shared" si="49"/>
        <v>T</v>
      </c>
      <c r="X6" s="15" t="str">
        <f t="shared" si="49"/>
        <v>W</v>
      </c>
      <c r="Y6" s="15" t="str">
        <f t="shared" si="49"/>
        <v>T</v>
      </c>
      <c r="Z6" s="15" t="str">
        <f t="shared" si="49"/>
        <v>F</v>
      </c>
      <c r="AA6" s="15" t="str">
        <f t="shared" si="49"/>
        <v>S</v>
      </c>
      <c r="AB6" s="15" t="str">
        <f t="shared" si="49"/>
        <v>S</v>
      </c>
      <c r="AC6" s="15" t="str">
        <f t="shared" si="49"/>
        <v>M</v>
      </c>
      <c r="AD6" s="15" t="str">
        <f t="shared" si="49"/>
        <v>T</v>
      </c>
      <c r="AE6" s="15" t="str">
        <f t="shared" si="49"/>
        <v>W</v>
      </c>
      <c r="AF6" s="15" t="str">
        <f t="shared" si="49"/>
        <v>T</v>
      </c>
      <c r="AG6" s="15" t="str">
        <f t="shared" si="49"/>
        <v>F</v>
      </c>
      <c r="AH6" s="15" t="str">
        <f t="shared" si="49"/>
        <v>S</v>
      </c>
      <c r="AI6" s="15" t="str">
        <f t="shared" si="49"/>
        <v>S</v>
      </c>
      <c r="AJ6" s="15" t="str">
        <f t="shared" si="49"/>
        <v>M</v>
      </c>
      <c r="AK6" s="15" t="str">
        <f t="shared" si="49"/>
        <v>T</v>
      </c>
      <c r="AL6" s="15" t="str">
        <f t="shared" si="49"/>
        <v>W</v>
      </c>
      <c r="AM6" s="15" t="str">
        <f t="shared" si="49"/>
        <v>T</v>
      </c>
      <c r="AN6" s="15" t="str">
        <f t="shared" si="49"/>
        <v>F</v>
      </c>
      <c r="AO6" s="15" t="str">
        <f t="shared" si="49"/>
        <v>S</v>
      </c>
      <c r="AP6" s="15" t="str">
        <f t="shared" si="49"/>
        <v>S</v>
      </c>
      <c r="AQ6" s="15" t="str">
        <f t="shared" si="49"/>
        <v>M</v>
      </c>
      <c r="AR6" s="15" t="str">
        <f t="shared" ref="AR6:BK6" si="50">LEFT(TEXT(AR5,"ddd"),1)</f>
        <v>T</v>
      </c>
      <c r="AS6" s="15" t="str">
        <f t="shared" si="50"/>
        <v>W</v>
      </c>
      <c r="AT6" s="15" t="str">
        <f t="shared" si="50"/>
        <v>T</v>
      </c>
      <c r="AU6" s="15" t="str">
        <f t="shared" si="50"/>
        <v>F</v>
      </c>
      <c r="AV6" s="15" t="str">
        <f t="shared" si="50"/>
        <v>S</v>
      </c>
      <c r="AW6" s="15" t="str">
        <f t="shared" si="50"/>
        <v>S</v>
      </c>
      <c r="AX6" s="15" t="str">
        <f t="shared" si="50"/>
        <v>M</v>
      </c>
      <c r="AY6" s="15" t="str">
        <f t="shared" si="50"/>
        <v>T</v>
      </c>
      <c r="AZ6" s="15" t="str">
        <f t="shared" si="50"/>
        <v>W</v>
      </c>
      <c r="BA6" s="15" t="str">
        <f t="shared" si="50"/>
        <v>T</v>
      </c>
      <c r="BB6" s="15" t="str">
        <f t="shared" si="50"/>
        <v>F</v>
      </c>
      <c r="BC6" s="15" t="str">
        <f t="shared" si="50"/>
        <v>S</v>
      </c>
      <c r="BD6" s="15" t="str">
        <f t="shared" si="50"/>
        <v>S</v>
      </c>
      <c r="BE6" s="15" t="str">
        <f t="shared" si="50"/>
        <v>M</v>
      </c>
      <c r="BF6" s="15" t="str">
        <f t="shared" si="50"/>
        <v>T</v>
      </c>
      <c r="BG6" s="15" t="str">
        <f t="shared" si="50"/>
        <v>W</v>
      </c>
      <c r="BH6" s="15" t="str">
        <f t="shared" si="50"/>
        <v>T</v>
      </c>
      <c r="BI6" s="15" t="str">
        <f t="shared" si="50"/>
        <v>F</v>
      </c>
      <c r="BJ6" s="15" t="str">
        <f t="shared" si="50"/>
        <v>S</v>
      </c>
      <c r="BK6" s="15" t="str">
        <f t="shared" si="50"/>
        <v>S</v>
      </c>
      <c r="BL6" s="15" t="str">
        <f t="shared" ref="BL6:CM6" si="51">LEFT(TEXT(BL5,"ddd"),1)</f>
        <v>M</v>
      </c>
      <c r="BM6" s="15" t="str">
        <f t="shared" si="51"/>
        <v>T</v>
      </c>
      <c r="BN6" s="15" t="str">
        <f t="shared" si="51"/>
        <v>W</v>
      </c>
      <c r="BO6" s="15" t="str">
        <f t="shared" si="51"/>
        <v>T</v>
      </c>
      <c r="BP6" s="15" t="str">
        <f t="shared" si="51"/>
        <v>F</v>
      </c>
      <c r="BQ6" s="15" t="str">
        <f t="shared" si="51"/>
        <v>S</v>
      </c>
      <c r="BR6" s="15" t="str">
        <f t="shared" si="51"/>
        <v>S</v>
      </c>
      <c r="BS6" s="15" t="str">
        <f t="shared" si="51"/>
        <v>M</v>
      </c>
      <c r="BT6" s="15" t="str">
        <f t="shared" si="51"/>
        <v>T</v>
      </c>
      <c r="BU6" s="15" t="str">
        <f t="shared" si="51"/>
        <v>W</v>
      </c>
      <c r="BV6" s="15" t="str">
        <f t="shared" si="51"/>
        <v>T</v>
      </c>
      <c r="BW6" s="15" t="str">
        <f t="shared" si="51"/>
        <v>F</v>
      </c>
      <c r="BX6" s="15" t="str">
        <f t="shared" si="51"/>
        <v>S</v>
      </c>
      <c r="BY6" s="15" t="str">
        <f t="shared" si="51"/>
        <v>S</v>
      </c>
      <c r="BZ6" s="15" t="str">
        <f t="shared" si="51"/>
        <v>M</v>
      </c>
      <c r="CA6" s="15" t="str">
        <f t="shared" si="51"/>
        <v>T</v>
      </c>
      <c r="CB6" s="15" t="str">
        <f t="shared" si="51"/>
        <v>W</v>
      </c>
      <c r="CC6" s="15" t="str">
        <f t="shared" si="51"/>
        <v>T</v>
      </c>
      <c r="CD6" s="15" t="str">
        <f t="shared" si="51"/>
        <v>F</v>
      </c>
      <c r="CE6" s="15" t="str">
        <f t="shared" si="51"/>
        <v>S</v>
      </c>
      <c r="CF6" s="15" t="str">
        <f t="shared" si="51"/>
        <v>S</v>
      </c>
      <c r="CG6" s="15" t="str">
        <f t="shared" si="51"/>
        <v>M</v>
      </c>
      <c r="CH6" s="15" t="str">
        <f t="shared" si="51"/>
        <v>T</v>
      </c>
      <c r="CI6" s="15" t="str">
        <f t="shared" si="51"/>
        <v>W</v>
      </c>
      <c r="CJ6" s="15" t="str">
        <f t="shared" si="51"/>
        <v>T</v>
      </c>
      <c r="CK6" s="15" t="str">
        <f t="shared" si="51"/>
        <v>F</v>
      </c>
      <c r="CL6" s="15" t="str">
        <f t="shared" si="51"/>
        <v>S</v>
      </c>
      <c r="CM6" s="15" t="str">
        <f t="shared" si="51"/>
        <v>S</v>
      </c>
      <c r="CN6" s="15" t="str">
        <f t="shared" ref="CN6:DE6" si="52">LEFT(TEXT(CN5,"ddd"),1)</f>
        <v>M</v>
      </c>
      <c r="CO6" s="15" t="str">
        <f t="shared" si="52"/>
        <v>T</v>
      </c>
      <c r="CP6" s="15" t="str">
        <f t="shared" si="52"/>
        <v>W</v>
      </c>
      <c r="CQ6" s="15" t="str">
        <f t="shared" si="52"/>
        <v>T</v>
      </c>
      <c r="CR6" s="15" t="str">
        <f t="shared" si="52"/>
        <v>F</v>
      </c>
      <c r="CS6" s="15" t="str">
        <f t="shared" si="52"/>
        <v>S</v>
      </c>
      <c r="CT6" s="15" t="str">
        <f t="shared" si="52"/>
        <v>S</v>
      </c>
      <c r="CU6" s="15" t="str">
        <f t="shared" si="52"/>
        <v>M</v>
      </c>
      <c r="CV6" s="15" t="str">
        <f t="shared" si="52"/>
        <v>T</v>
      </c>
      <c r="CW6" s="15" t="str">
        <f t="shared" si="52"/>
        <v>W</v>
      </c>
      <c r="CX6" s="15" t="str">
        <f t="shared" si="52"/>
        <v>T</v>
      </c>
      <c r="CY6" s="15" t="str">
        <f t="shared" si="52"/>
        <v>F</v>
      </c>
      <c r="CZ6" s="15" t="str">
        <f t="shared" si="52"/>
        <v>S</v>
      </c>
      <c r="DA6" s="15" t="str">
        <f t="shared" si="52"/>
        <v>S</v>
      </c>
      <c r="DB6" s="15" t="str">
        <f t="shared" si="52"/>
        <v>M</v>
      </c>
      <c r="DC6" s="15" t="str">
        <f t="shared" si="52"/>
        <v>T</v>
      </c>
      <c r="DD6" s="15" t="str">
        <f t="shared" si="52"/>
        <v>W</v>
      </c>
      <c r="DE6" s="15" t="str">
        <f t="shared" si="52"/>
        <v>T</v>
      </c>
    </row>
    <row r="7" spans="1:109" s="3" customFormat="1" ht="21.75" thickBot="1" x14ac:dyDescent="0.3">
      <c r="A7" s="17"/>
      <c r="B7" s="18"/>
      <c r="C7" s="19"/>
      <c r="D7" s="20"/>
      <c r="E7" s="20"/>
      <c r="F7" s="21"/>
      <c r="G7" s="22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</row>
    <row r="8" spans="1:109" s="3" customFormat="1" ht="22.15" customHeight="1" thickBot="1" x14ac:dyDescent="0.3">
      <c r="A8" s="17"/>
      <c r="B8" s="37" t="s">
        <v>6</v>
      </c>
      <c r="C8" s="38"/>
      <c r="D8" s="39"/>
      <c r="E8" s="39"/>
      <c r="F8" s="40"/>
      <c r="G8" s="41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</row>
    <row r="9" spans="1:109" s="3" customFormat="1" ht="22.15" customHeight="1" thickBot="1" x14ac:dyDescent="0.3">
      <c r="A9" s="17"/>
      <c r="B9" s="42" t="s">
        <v>12</v>
      </c>
      <c r="C9" s="43" t="s">
        <v>10</v>
      </c>
      <c r="D9" s="39">
        <v>0</v>
      </c>
      <c r="E9" s="39" t="s">
        <v>9</v>
      </c>
      <c r="F9" s="40">
        <v>46051</v>
      </c>
      <c r="G9" s="40">
        <v>46054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</row>
    <row r="10" spans="1:109" s="3" customFormat="1" ht="22.15" customHeight="1" thickBot="1" x14ac:dyDescent="0.3">
      <c r="A10" s="17"/>
      <c r="B10" s="42" t="s">
        <v>13</v>
      </c>
      <c r="C10" s="43" t="s">
        <v>10</v>
      </c>
      <c r="D10" s="39">
        <v>0</v>
      </c>
      <c r="E10" s="39" t="s">
        <v>9</v>
      </c>
      <c r="F10" s="40">
        <v>46054</v>
      </c>
      <c r="G10" s="40">
        <v>46056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</row>
    <row r="11" spans="1:109" s="3" customFormat="1" ht="22.15" customHeight="1" thickBot="1" x14ac:dyDescent="0.3">
      <c r="A11" s="17"/>
      <c r="B11" s="42" t="s">
        <v>14</v>
      </c>
      <c r="C11" s="43" t="s">
        <v>10</v>
      </c>
      <c r="D11" s="39">
        <v>0</v>
      </c>
      <c r="E11" s="39" t="s">
        <v>9</v>
      </c>
      <c r="F11" s="40">
        <v>46056</v>
      </c>
      <c r="G11" s="40">
        <v>46059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</row>
    <row r="12" spans="1:109" s="3" customFormat="1" ht="22.15" customHeight="1" thickBot="1" x14ac:dyDescent="0.3">
      <c r="A12" s="17"/>
      <c r="B12" s="42" t="s">
        <v>15</v>
      </c>
      <c r="C12" s="43" t="s">
        <v>10</v>
      </c>
      <c r="D12" s="39">
        <v>0</v>
      </c>
      <c r="E12" s="39" t="s">
        <v>9</v>
      </c>
      <c r="F12" s="40">
        <v>46059</v>
      </c>
      <c r="G12" s="40">
        <v>46062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</row>
    <row r="13" spans="1:109" ht="22.15" customHeight="1" thickBot="1" x14ac:dyDescent="0.3">
      <c r="B13" s="42" t="s">
        <v>16</v>
      </c>
      <c r="C13" s="43" t="s">
        <v>10</v>
      </c>
      <c r="D13" s="39">
        <v>0</v>
      </c>
      <c r="E13" s="39" t="s">
        <v>9</v>
      </c>
      <c r="F13" s="40">
        <v>46062</v>
      </c>
      <c r="G13" s="40">
        <v>46065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</row>
    <row r="14" spans="1:109" ht="22.15" customHeight="1" thickBot="1" x14ac:dyDescent="0.3">
      <c r="B14" s="42" t="s">
        <v>17</v>
      </c>
      <c r="C14" s="43" t="s">
        <v>10</v>
      </c>
      <c r="D14" s="39">
        <v>0</v>
      </c>
      <c r="E14" s="39" t="s">
        <v>9</v>
      </c>
      <c r="F14" s="40">
        <v>46063</v>
      </c>
      <c r="G14" s="40">
        <v>46067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</row>
    <row r="15" spans="1:109" ht="22.15" customHeight="1" thickBot="1" x14ac:dyDescent="0.3">
      <c r="B15" s="32" t="s">
        <v>7</v>
      </c>
      <c r="C15" s="36"/>
      <c r="D15" s="33"/>
      <c r="E15" s="33"/>
      <c r="F15" s="34"/>
      <c r="G15" s="34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</row>
    <row r="16" spans="1:109" ht="22.15" customHeight="1" thickBot="1" x14ac:dyDescent="0.3">
      <c r="B16" s="35" t="s">
        <v>18</v>
      </c>
      <c r="C16" s="36" t="s">
        <v>10</v>
      </c>
      <c r="D16" s="33">
        <v>0</v>
      </c>
      <c r="E16" s="33" t="s">
        <v>9</v>
      </c>
      <c r="F16" s="34">
        <v>46068</v>
      </c>
      <c r="G16" s="34">
        <v>46101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</row>
    <row r="17" spans="2:109" ht="22.15" customHeight="1" thickBot="1" x14ac:dyDescent="0.3">
      <c r="B17" s="35" t="s">
        <v>19</v>
      </c>
      <c r="C17" s="36" t="s">
        <v>10</v>
      </c>
      <c r="D17" s="33">
        <v>0</v>
      </c>
      <c r="E17" s="33" t="s">
        <v>9</v>
      </c>
      <c r="F17" s="34">
        <v>46068</v>
      </c>
      <c r="G17" s="34">
        <v>46101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</row>
    <row r="18" spans="2:109" ht="22.15" customHeight="1" thickBot="1" x14ac:dyDescent="0.3">
      <c r="B18" s="35" t="s">
        <v>20</v>
      </c>
      <c r="C18" s="36" t="s">
        <v>10</v>
      </c>
      <c r="D18" s="33">
        <v>0</v>
      </c>
      <c r="E18" s="33" t="s">
        <v>9</v>
      </c>
      <c r="F18" s="34">
        <v>46068</v>
      </c>
      <c r="G18" s="34">
        <v>46101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</row>
    <row r="19" spans="2:109" ht="22.15" customHeight="1" thickBot="1" x14ac:dyDescent="0.3">
      <c r="B19" s="35" t="s">
        <v>21</v>
      </c>
      <c r="C19" s="36" t="s">
        <v>10</v>
      </c>
      <c r="D19" s="33">
        <v>0</v>
      </c>
      <c r="E19" s="33" t="s">
        <v>9</v>
      </c>
      <c r="F19" s="34">
        <v>46063</v>
      </c>
      <c r="G19" s="34">
        <v>46111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</row>
    <row r="20" spans="2:109" ht="22.15" customHeight="1" thickBot="1" x14ac:dyDescent="0.3">
      <c r="B20" s="35" t="s">
        <v>22</v>
      </c>
      <c r="C20" s="36" t="s">
        <v>10</v>
      </c>
      <c r="D20" s="33">
        <v>0</v>
      </c>
      <c r="E20" s="33" t="s">
        <v>9</v>
      </c>
      <c r="F20" s="34">
        <v>46086</v>
      </c>
      <c r="G20" s="34">
        <v>46091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</row>
    <row r="21" spans="2:109" ht="22.15" customHeight="1" thickBot="1" x14ac:dyDescent="0.3">
      <c r="B21" s="35" t="s">
        <v>23</v>
      </c>
      <c r="C21" s="36" t="s">
        <v>10</v>
      </c>
      <c r="D21" s="33">
        <v>0</v>
      </c>
      <c r="E21" s="33" t="s">
        <v>9</v>
      </c>
      <c r="F21" s="34">
        <v>46091</v>
      </c>
      <c r="G21" s="34">
        <v>46099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</row>
    <row r="22" spans="2:109" ht="22.15" customHeight="1" thickBot="1" x14ac:dyDescent="0.3">
      <c r="B22" s="35" t="s">
        <v>24</v>
      </c>
      <c r="C22" s="36" t="s">
        <v>10</v>
      </c>
      <c r="D22" s="33">
        <v>0</v>
      </c>
      <c r="E22" s="33" t="s">
        <v>9</v>
      </c>
      <c r="F22" s="34">
        <v>46068</v>
      </c>
      <c r="G22" s="34">
        <v>46103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</row>
    <row r="23" spans="2:109" ht="22.15" customHeight="1" thickBot="1" x14ac:dyDescent="0.3">
      <c r="B23" s="35" t="s">
        <v>25</v>
      </c>
      <c r="C23" s="36" t="s">
        <v>10</v>
      </c>
      <c r="D23" s="33">
        <v>0</v>
      </c>
      <c r="E23" s="33" t="s">
        <v>9</v>
      </c>
      <c r="F23" s="34">
        <v>46103</v>
      </c>
      <c r="G23" s="34">
        <v>46111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</row>
    <row r="24" spans="2:109" ht="22.15" customHeight="1" thickBot="1" x14ac:dyDescent="0.3">
      <c r="B24" s="35" t="s">
        <v>26</v>
      </c>
      <c r="C24" s="36" t="s">
        <v>10</v>
      </c>
      <c r="D24" s="33">
        <v>0</v>
      </c>
      <c r="E24" s="33" t="s">
        <v>9</v>
      </c>
      <c r="F24" s="34">
        <v>46109</v>
      </c>
      <c r="G24" s="34">
        <v>46087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</row>
    <row r="25" spans="2:109" ht="22.15" customHeight="1" thickBot="1" x14ac:dyDescent="0.3">
      <c r="B25" s="25" t="s">
        <v>34</v>
      </c>
      <c r="C25" s="26"/>
      <c r="D25" s="27"/>
      <c r="E25" s="27"/>
      <c r="F25" s="28"/>
      <c r="G25" s="29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</row>
    <row r="26" spans="2:109" ht="22.15" customHeight="1" thickBot="1" x14ac:dyDescent="0.3">
      <c r="B26" s="30" t="s">
        <v>27</v>
      </c>
      <c r="C26" s="31" t="s">
        <v>10</v>
      </c>
      <c r="D26" s="27">
        <v>0</v>
      </c>
      <c r="E26" s="44" t="s">
        <v>9</v>
      </c>
      <c r="F26" s="28">
        <v>46111</v>
      </c>
      <c r="G26" s="28">
        <v>46112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</row>
    <row r="27" spans="2:109" ht="22.15" customHeight="1" thickBot="1" x14ac:dyDescent="0.3">
      <c r="B27" s="30" t="s">
        <v>28</v>
      </c>
      <c r="C27" s="31" t="s">
        <v>10</v>
      </c>
      <c r="D27" s="27">
        <v>0</v>
      </c>
      <c r="E27" s="44" t="s">
        <v>9</v>
      </c>
      <c r="F27" s="28">
        <v>46111</v>
      </c>
      <c r="G27" s="28">
        <v>46112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</row>
    <row r="28" spans="2:109" ht="22.15" customHeight="1" thickBot="1" x14ac:dyDescent="0.3">
      <c r="B28" s="30" t="s">
        <v>29</v>
      </c>
      <c r="C28" s="31" t="s">
        <v>10</v>
      </c>
      <c r="D28" s="27">
        <v>0</v>
      </c>
      <c r="E28" s="44" t="s">
        <v>9</v>
      </c>
      <c r="F28" s="28">
        <v>46113</v>
      </c>
      <c r="G28" s="28">
        <v>46114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</row>
    <row r="29" spans="2:109" ht="22.15" customHeight="1" thickBot="1" x14ac:dyDescent="0.3">
      <c r="B29" s="30" t="s">
        <v>30</v>
      </c>
      <c r="C29" s="31" t="s">
        <v>10</v>
      </c>
      <c r="D29" s="27">
        <v>0</v>
      </c>
      <c r="E29" s="44" t="s">
        <v>9</v>
      </c>
      <c r="F29" s="28">
        <v>46115</v>
      </c>
      <c r="G29" s="28">
        <v>46115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</row>
    <row r="30" spans="2:109" ht="22.15" customHeight="1" thickBot="1" x14ac:dyDescent="0.3">
      <c r="B30" s="30" t="s">
        <v>31</v>
      </c>
      <c r="C30" s="31" t="s">
        <v>10</v>
      </c>
      <c r="D30" s="27">
        <v>0</v>
      </c>
      <c r="E30" s="44" t="s">
        <v>9</v>
      </c>
      <c r="F30" s="28">
        <v>46132</v>
      </c>
      <c r="G30" s="28">
        <v>46138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</row>
  </sheetData>
  <mergeCells count="17">
    <mergeCell ref="DB4:DE4"/>
    <mergeCell ref="BS4:BY4"/>
    <mergeCell ref="BZ4:CF4"/>
    <mergeCell ref="CG4:CM4"/>
    <mergeCell ref="CN4:CT4"/>
    <mergeCell ref="CU4:DA4"/>
    <mergeCell ref="F2:G2"/>
    <mergeCell ref="H4:N4"/>
    <mergeCell ref="O4:U4"/>
    <mergeCell ref="V4:AB4"/>
    <mergeCell ref="AC4:AI4"/>
    <mergeCell ref="F3:G3"/>
    <mergeCell ref="AJ4:AP4"/>
    <mergeCell ref="AQ4:AW4"/>
    <mergeCell ref="AX4:BD4"/>
    <mergeCell ref="BE4:BK4"/>
    <mergeCell ref="BL4:BR4"/>
  </mergeCells>
  <phoneticPr fontId="14" type="noConversion"/>
  <conditionalFormatting sqref="D7:E30">
    <cfRule type="dataBar" priority="1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H5:DE30">
    <cfRule type="expression" dxfId="2" priority="4">
      <formula>AND(today&gt;=H$5,today&lt;H$5+1)</formula>
    </cfRule>
  </conditionalFormatting>
  <conditionalFormatting sqref="H7:DE30">
    <cfRule type="expression" dxfId="1" priority="2">
      <formula>AND(task_start&lt;=H$5,ROUNDDOWN((task_end-task_start+1)*task_progress,0)+task_start-1&gt;=H$5)</formula>
    </cfRule>
    <cfRule type="expression" dxfId="0" priority="3" stopIfTrue="1">
      <formula>AND(task_end&gt;=H$5,task_start&lt;H$5+1)</formula>
    </cfRule>
  </conditionalFormatting>
  <dataValidations count="1">
    <dataValidation type="whole" operator="greaterThanOrEqual" allowBlank="1" showInputMessage="1" promptTitle="Display Week" prompt="Changing this number will scroll the Gantt Chart view." sqref="F4" xr:uid="{00000000-0002-0000-0000-000000000000}">
      <formula1>1</formula1>
    </dataValidation>
  </dataValidations>
  <pageMargins left="0.35" right="0.35" top="0.35" bottom="0.5" header="0.3" footer="0.3"/>
  <pageSetup scale="62" fitToHeight="0" orientation="landscape" r:id="rId1"/>
  <headerFooter scaleWithDoc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D7:E30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ProjectSchedule</vt:lpstr>
      <vt:lpstr>ProjectSchedule!Print_Area</vt:lpstr>
      <vt:lpstr>ProjectSchedule!Print_Titles</vt:lpstr>
      <vt:lpstr>ProjectSchedule!task_end</vt:lpstr>
      <vt:lpstr>ProjectSchedule!task_progress</vt:lpstr>
      <vt:lpstr>ProjectSchedule!task_start</vt:lpstr>
      <vt:lpstr>ProjectSchedule!today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Simple Gantt Chart</dc:title>
  <dc:creator>Vertex42.com</dc:creator>
  <dc:description>© 2018-2019 Vertex42 LLC. All Rights Reserved.</dc:description>
  <cp:lastModifiedBy>ISAAC NAYLOR (2507509)</cp:lastModifiedBy>
  <cp:lastPrinted>2019-04-24T14:39:40Z</cp:lastPrinted>
  <dcterms:created xsi:type="dcterms:W3CDTF">2017-01-09T18:01:51Z</dcterms:created>
  <dcterms:modified xsi:type="dcterms:W3CDTF">2026-03-30T22:41:07Z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https://www.vertex42.com/</vt:lpwstr>
  </property>
  <property fmtid="{D5CDD505-2E9C-101B-9397-08002B2CF9AE}" pid="3" name="Copyright">
    <vt:lpwstr>© 2019 Vertex42 LLC</vt:lpwstr>
  </property>
  <property fmtid="{D5CDD505-2E9C-101B-9397-08002B2CF9AE}" pid="4" name="Version">
    <vt:lpwstr>1.0.1</vt:lpwstr>
  </property>
</Properties>
</file>